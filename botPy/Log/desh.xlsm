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PROJECTS\Documents\Machine Learning\IQBot\botPy\Log\"/>
    </mc:Choice>
  </mc:AlternateContent>
  <xr:revisionPtr revIDLastSave="0" documentId="13_ncr:1_{270C348C-ECEF-426B-9975-B64D4B0CB3D0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indicators" sheetId="4" state="hidden" r:id="rId1"/>
    <sheet name="INDEX" sheetId="5" r:id="rId2"/>
    <sheet name="Planilha1" sheetId="6" r:id="rId3"/>
  </sheets>
  <definedNames>
    <definedName name="DadosExternos_2" localSheetId="2" hidden="1">Planilha1!$A$1:$E$6</definedName>
    <definedName name="lucroFiltrado">indicators!$E$4</definedName>
    <definedName name="LucroHoje">indicators!$L$3</definedName>
    <definedName name="SegmentaçãodeDados_data">#N/A</definedName>
  </definedNames>
  <calcPr calcId="191029"/>
  <pivotCaches>
    <pivotCache cacheId="58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5" l="1"/>
  <c r="L3" i="4"/>
  <c r="B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05E5EC-21DA-4F45-AC5E-AF5307A24746}" keepAlive="1" name="Consulta - log" description="Conexão com a consulta 'log' na pasta de trabalho." type="5" refreshedVersion="6" background="1" saveData="1">
    <dbPr connection="Provider=Microsoft.Mashup.OleDb.1;Data Source=$Workbook$;Location=log;Extended Properties=&quot;&quot;" command="SELECT * FROM [log]"/>
  </connection>
</connections>
</file>

<file path=xl/sharedStrings.xml><?xml version="1.0" encoding="utf-8"?>
<sst xmlns="http://schemas.openxmlformats.org/spreadsheetml/2006/main" count="31" uniqueCount="17">
  <si>
    <t>data</t>
  </si>
  <si>
    <t>hora</t>
  </si>
  <si>
    <t>resultado</t>
  </si>
  <si>
    <t>win</t>
  </si>
  <si>
    <t>loos</t>
  </si>
  <si>
    <t>lucro</t>
  </si>
  <si>
    <t>name</t>
  </si>
  <si>
    <t>value</t>
  </si>
  <si>
    <t>Indicadores</t>
  </si>
  <si>
    <t>Total Geral</t>
  </si>
  <si>
    <t>Soma de lucro</t>
  </si>
  <si>
    <t>Dias</t>
  </si>
  <si>
    <t>Lucro de cada Dia</t>
  </si>
  <si>
    <t>LucroHoje</t>
  </si>
  <si>
    <t/>
  </si>
  <si>
    <t>(vazio)</t>
  </si>
  <si>
    <t>cicloRec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</si>
</sst>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2" tint="-0.89999084444715716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/>
    <xf numFmtId="44" fontId="0" fillId="0" borderId="0" xfId="1" applyFont="1"/>
    <xf numFmtId="44" fontId="0" fillId="0" borderId="0" xfId="1" applyFont="1" applyAlignment="1"/>
    <xf numFmtId="44" fontId="2" fillId="0" borderId="0" xfId="1" applyFont="1"/>
    <xf numFmtId="44" fontId="0" fillId="0" borderId="0" xfId="1" pivotButton="1" applyFont="1"/>
    <xf numFmtId="44" fontId="0" fillId="0" borderId="0" xfId="1" applyFont="1" applyAlignment="1">
      <alignment horizontal="left"/>
    </xf>
    <xf numFmtId="44" fontId="3" fillId="0" borderId="0" xfId="1" applyFont="1"/>
    <xf numFmtId="164" fontId="5" fillId="0" borderId="0" xfId="0" applyNumberFormat="1" applyFont="1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/>
  </cellXfs>
  <cellStyles count="2">
    <cellStyle name="Moeda" xfId="1" builtinId="4"/>
    <cellStyle name="Normal" xfId="0" builtinId="0"/>
  </cellStyles>
  <dxfs count="23">
    <dxf>
      <numFmt numFmtId="0" formatCode="General"/>
    </dxf>
    <dxf>
      <numFmt numFmtId="164" formatCode="[$-F400]h:mm:ss\ AM/PM"/>
    </dxf>
    <dxf>
      <numFmt numFmtId="19" formatCode="dd/mm/yyyy"/>
    </dxf>
    <dxf>
      <font>
        <color rgb="FF9C0006"/>
      </font>
    </dxf>
    <dxf>
      <font>
        <color rgb="FFFFFF00"/>
      </font>
    </dxf>
    <dxf>
      <font>
        <color rgb="FF92D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FFFF00"/>
      </font>
    </dxf>
    <dxf>
      <font>
        <color rgb="FF92D050"/>
      </font>
    </dxf>
    <dxf>
      <numFmt numFmtId="34" formatCode="_-&quot;R$&quot;\ * #,##0.00_-;\-&quot;R$&quot;\ * #,##0.00_-;_-&quot;R$&quot;\ * &quot;-&quot;??_-;_-@_-"/>
    </dxf>
    <dxf>
      <font>
        <sz val="14"/>
      </font>
    </dxf>
    <dxf>
      <alignment horizontal="center"/>
    </dxf>
    <dxf>
      <alignment vertical="center"/>
    </dxf>
    <dxf>
      <font>
        <sz val="14"/>
      </font>
    </dxf>
    <dxf>
      <alignment horizontal="center"/>
    </dxf>
    <dxf>
      <alignment vertical="center"/>
    </dxf>
    <dxf>
      <font>
        <sz val="14"/>
      </font>
    </dxf>
    <dxf>
      <font>
        <b/>
      </font>
    </dxf>
    <dxf>
      <font>
        <i val="0"/>
      </font>
    </dxf>
    <dxf>
      <font>
        <color theme="2" tint="-0.89999084444715716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161926</xdr:rowOff>
    </xdr:from>
    <xdr:to>
      <xdr:col>2</xdr:col>
      <xdr:colOff>295275</xdr:colOff>
      <xdr:row>4</xdr:row>
      <xdr:rowOff>66676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7FDFCFA-804F-45D3-B9EB-11205B3154B7}"/>
            </a:ext>
          </a:extLst>
        </xdr:cNvPr>
        <xdr:cNvSpPr/>
      </xdr:nvSpPr>
      <xdr:spPr>
        <a:xfrm>
          <a:off x="95250" y="161926"/>
          <a:ext cx="2181225" cy="876300"/>
        </a:xfrm>
        <a:prstGeom prst="roundRect">
          <a:avLst>
            <a:gd name="adj" fmla="val 23709"/>
          </a:avLst>
        </a:prstGeom>
        <a:noFill/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HOJE:</a:t>
          </a:r>
          <a:endParaRPr lang="pt-BR" sz="2000"/>
        </a:p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304800</xdr:colOff>
      <xdr:row>5</xdr:row>
      <xdr:rowOff>171450</xdr:rowOff>
    </xdr:from>
    <xdr:to>
      <xdr:col>10</xdr:col>
      <xdr:colOff>304800</xdr:colOff>
      <xdr:row>17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">
              <a:extLst>
                <a:ext uri="{FF2B5EF4-FFF2-40B4-BE49-F238E27FC236}">
                  <a16:creationId xmlns:a16="http://schemas.microsoft.com/office/drawing/2014/main" id="{A57F9AF8-217E-43CE-9775-4D33912AFE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333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314325</xdr:colOff>
      <xdr:row>6</xdr:row>
      <xdr:rowOff>114301</xdr:rowOff>
    </xdr:from>
    <xdr:to>
      <xdr:col>7</xdr:col>
      <xdr:colOff>76200</xdr:colOff>
      <xdr:row>8</xdr:row>
      <xdr:rowOff>47625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B78D8E5-151C-40DF-97D8-2FD4C587459A}"/>
            </a:ext>
          </a:extLst>
        </xdr:cNvPr>
        <xdr:cNvSpPr/>
      </xdr:nvSpPr>
      <xdr:spPr>
        <a:xfrm>
          <a:off x="3457575" y="1466851"/>
          <a:ext cx="2209800" cy="419099"/>
        </a:xfrm>
        <a:prstGeom prst="roundRect">
          <a:avLst>
            <a:gd name="adj" fmla="val 23709"/>
          </a:avLst>
        </a:prstGeom>
        <a:noFill/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LUCRO:</a:t>
          </a:r>
          <a:endParaRPr lang="pt-BR" sz="2000"/>
        </a:p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156.103964699076" createdVersion="6" refreshedVersion="6" minRefreshableVersion="3" recordCount="5" xr:uid="{730C54FA-91D9-4C42-810B-AAE4B4F5ECCA}">
  <cacheSource type="worksheet">
    <worksheetSource name="log"/>
  </cacheSource>
  <cacheFields count="5">
    <cacheField name="data" numFmtId="14">
      <sharedItems containsNonDate="0" containsDate="1" containsString="0" containsBlank="1" minDate="2020-11-19T00:00:00" maxDate="2020-11-22T00:00:00" count="4">
        <d v="2020-11-19T00:00:00"/>
        <m/>
        <d v="2020-11-21T00:00:00" u="1"/>
        <d v="2020-11-20T00:00:00" u="1"/>
      </sharedItems>
    </cacheField>
    <cacheField name="hora" numFmtId="164">
      <sharedItems containsNonDate="0" containsDate="1" containsString="0" containsBlank="1" minDate="1899-12-30T17:40:30" maxDate="1899-12-30T17:40:30" count="2">
        <d v="1899-12-30T17:40:30"/>
        <m/>
      </sharedItems>
    </cacheField>
    <cacheField name="resultado" numFmtId="0">
      <sharedItems count="3">
        <s v="win"/>
        <s v="loos"/>
        <s v=""/>
      </sharedItems>
    </cacheField>
    <cacheField name="lucro" numFmtId="0">
      <sharedItems containsString="0" containsBlank="1" containsNumber="1" minValue="-2" maxValue="100" count="14">
        <n v="3"/>
        <n v="10"/>
        <n v="20"/>
        <m/>
        <n v="100" u="1"/>
        <n v="5" u="1"/>
        <n v="70" u="1"/>
        <n v="2" u="1"/>
        <n v="50" u="1"/>
        <n v="90" u="1"/>
        <n v="2.21" u="1"/>
        <n v="80" u="1"/>
        <n v="-2" u="1"/>
        <n v="30" u="1"/>
      </sharedItems>
    </cacheField>
    <cacheField name="cicloRec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53904771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n v="0"/>
  </r>
  <r>
    <x v="0"/>
    <x v="0"/>
    <x v="1"/>
    <x v="1"/>
    <n v="0"/>
  </r>
  <r>
    <x v="0"/>
    <x v="0"/>
    <x v="1"/>
    <x v="2"/>
    <n v="0"/>
  </r>
  <r>
    <x v="1"/>
    <x v="1"/>
    <x v="2"/>
    <x v="3"/>
    <m/>
  </r>
  <r>
    <x v="1"/>
    <x v="1"/>
    <x v="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75208-95A3-485A-B746-C8FF88590908}" name="Tabela dinâmica1" cacheId="5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 rowHeaderCaption="Dias">
  <location ref="A3:B6" firstHeaderRow="1" firstDataRow="1" firstDataCol="1"/>
  <pivotFields count="5">
    <pivotField axis="axisRow" numFmtId="14" showAll="0">
      <items count="5">
        <item x="0"/>
        <item m="1" x="3"/>
        <item m="1" x="2"/>
        <item x="1"/>
        <item t="default"/>
      </items>
    </pivotField>
    <pivotField numFmtId="164" showAll="0"/>
    <pivotField showAll="0"/>
    <pivotField dataField="1" showAll="0"/>
    <pivotField showAll="0"/>
  </pivotFields>
  <rowFields count="1">
    <field x="0"/>
  </rowFields>
  <rowItems count="3">
    <i>
      <x/>
    </i>
    <i>
      <x v="3"/>
    </i>
    <i t="grand">
      <x/>
    </i>
  </rowItems>
  <colItems count="1">
    <i/>
  </colItems>
  <dataFields count="1">
    <dataField name="Soma de lucr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8D5C1-4DBF-4924-AE1A-5F3F817521F8}" name="Tabela dinâmica4" cacheId="5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Dias">
  <location ref="D3:E6" firstHeaderRow="1" firstDataRow="1" firstDataCol="1"/>
  <pivotFields count="5">
    <pivotField axis="axisRow" numFmtId="14" showAll="0">
      <items count="5">
        <item x="0"/>
        <item m="1" x="3"/>
        <item m="1" x="2"/>
        <item x="1"/>
        <item t="default"/>
      </items>
    </pivotField>
    <pivotField numFmtId="164" showAll="0"/>
    <pivotField showAll="0"/>
    <pivotField dataField="1" showAll="0"/>
    <pivotField showAll="0"/>
  </pivotFields>
  <rowFields count="1">
    <field x="0"/>
  </rowFields>
  <rowItems count="3">
    <i>
      <x/>
    </i>
    <i>
      <x v="3"/>
    </i>
    <i t="grand">
      <x/>
    </i>
  </rowItems>
  <colItems count="1">
    <i/>
  </colItems>
  <dataFields count="1">
    <dataField name="Soma de lucr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C59E9F-4BB1-4B04-86C2-716DD7C1267F}" name="Tabela dinâmica3" cacheId="58" applyNumberFormats="0" applyBorderFormats="0" applyFontFormats="0" applyPatternFormats="0" applyAlignmentFormats="0" applyWidthHeightFormats="1" dataCaption="Valores" updatedVersion="6" minRefreshableVersion="3" showDrill="0" useAutoFormatting="1" rowGrandTotals="0" itemPrintTitles="1" createdVersion="6" indent="0" compact="0" compactData="0" multipleFieldFilters="0" rowHeaderCaption="Dias">
  <location ref="A7:C11" firstHeaderRow="1" firstDataRow="1" firstDataCol="3"/>
  <pivotFields count="5">
    <pivotField compact="0" numFmtId="14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m="1" x="12"/>
        <item m="1" x="7"/>
        <item m="1" x="10"/>
        <item m="1" x="5"/>
        <item m="1" x="11"/>
        <item m="1" x="9"/>
        <item m="1" x="4"/>
        <item m="1" x="6"/>
        <item m="1" x="13"/>
        <item x="2"/>
        <item m="1" x="8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2"/>
  </rowFields>
  <rowItems count="4">
    <i>
      <x/>
      <x v="9"/>
      <x/>
    </i>
    <i r="1">
      <x v="12"/>
      <x v="1"/>
    </i>
    <i r="1">
      <x v="13"/>
      <x/>
    </i>
    <i>
      <x v="1"/>
      <x v="11"/>
      <x v="2"/>
    </i>
  </rowItems>
  <colItems count="1">
    <i/>
  </colItems>
  <formats count="11">
    <format dxfId="22">
      <pivotArea dataOnly="0" labelOnly="1" outline="0" fieldPosition="0">
        <references count="1">
          <reference field="3" count="0"/>
        </references>
      </pivotArea>
    </format>
    <format dxfId="21">
      <pivotArea dataOnly="0" labelOnly="1" outline="0" fieldPosition="0">
        <references count="1">
          <reference field="3" count="0"/>
        </references>
      </pivotArea>
    </format>
    <format dxfId="20">
      <pivotArea dataOnly="0" labelOnly="1" outline="0" fieldPosition="0">
        <references count="1">
          <reference field="3" count="0"/>
        </references>
      </pivotArea>
    </format>
    <format dxfId="19">
      <pivotArea dataOnly="0" labelOnly="1" outline="0" fieldPosition="0">
        <references count="1">
          <reference field="3" count="0"/>
        </references>
      </pivotArea>
    </format>
    <format dxfId="18">
      <pivotArea dataOnly="0" labelOnly="1" outline="0" fieldPosition="0">
        <references count="1">
          <reference field="3" count="0"/>
        </references>
      </pivotArea>
    </format>
    <format dxfId="17">
      <pivotArea dataOnly="0" labelOnly="1" outline="0" fieldPosition="0">
        <references count="1">
          <reference field="3" count="0"/>
        </references>
      </pivotArea>
    </format>
    <format dxfId="16">
      <pivotArea dataOnly="0" labelOnly="1" outline="0" fieldPosition="0">
        <references count="1">
          <reference field="1" count="0"/>
        </references>
      </pivotArea>
    </format>
    <format dxfId="15">
      <pivotArea dataOnly="0" labelOnly="1" outline="0" fieldPosition="0">
        <references count="1">
          <reference field="1" count="0"/>
        </references>
      </pivotArea>
    </format>
    <format dxfId="14">
      <pivotArea dataOnly="0" labelOnly="1" outline="0" fieldPosition="0">
        <references count="1">
          <reference field="1" count="0"/>
        </references>
      </pivotArea>
    </format>
    <format dxfId="13">
      <pivotArea dataOnly="0" labelOnly="1" outline="0" fieldPosition="0">
        <references count="1">
          <reference field="2" count="0"/>
        </references>
      </pivotArea>
    </format>
    <format dxfId="12">
      <pivotArea dataOnly="0" labelOnly="1" outline="0" fieldPosition="0">
        <references count="1">
          <reference field="3" count="0"/>
        </references>
      </pivotArea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F8C92B0F-5679-4248-A90C-9B2DFC938AA0}" autoFormatId="16" applyNumberFormats="0" applyBorderFormats="0" applyFontFormats="0" applyPatternFormats="0" applyAlignmentFormats="0" applyWidthHeightFormats="0">
  <queryTableRefresh nextId="7">
    <queryTableFields count="5">
      <queryTableField id="1" name="data" tableColumnId="1"/>
      <queryTableField id="2" name="hora" tableColumnId="2"/>
      <queryTableField id="3" name="resultado" tableColumnId="3"/>
      <queryTableField id="4" name="lucro" tableColumnId="4"/>
      <queryTableField id="6" name="cicloRec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3D2D5EFA-AF60-42F2-BA8A-E32CDA8872BD}" sourceName="data">
  <pivotTables>
    <pivotTable tabId="5" name="Tabela dinâmica3"/>
    <pivotTable tabId="4" name="Tabela dinâmica4"/>
  </pivotTables>
  <data>
    <tabular pivotCacheId="1539047711" sortOrder="descending">
      <items count="4">
        <i x="1" s="1"/>
        <i x="0" s="1"/>
        <i x="2" s="1" nd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EE88A6D4-F974-4BC6-9678-28AC54BEA95B}" cache="SegmentaçãodeDados_data" caption="Selecione o dia" style="SlicerStyleDark5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FA3713-871F-4652-8730-9BE2DDE7FC9F}" name="Tabela3" displayName="Tabela3" ref="K2:L14" totalsRowShown="0">
  <autoFilter ref="K2:L14" xr:uid="{AF39DAFE-188D-4CD4-BCEC-DA5BCD00A963}"/>
  <tableColumns count="2">
    <tableColumn id="1" xr3:uid="{C18B5B73-24FA-4095-8783-D964FE996900}" name="name"/>
    <tableColumn id="2" xr3:uid="{3EBCDF67-F2EB-4161-93E8-E3408D792A0A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187719-2B8F-4F3A-AFAB-DEFB0EDC9728}" name="log" displayName="log" ref="A1:E6" tableType="queryTable" totalsRowShown="0">
  <autoFilter ref="A1:E6" xr:uid="{2BBB63EB-17E8-4B3A-B3E2-49DD08C328B4}"/>
  <tableColumns count="5">
    <tableColumn id="1" xr3:uid="{4D8F4217-220C-4EF2-A5E2-0B8F26C9417F}" uniqueName="1" name="data" queryTableFieldId="1" dataDxfId="2"/>
    <tableColumn id="2" xr3:uid="{CABEFD3C-8DAD-4A67-9024-2592A4EB0034}" uniqueName="2" name="hora" queryTableFieldId="2" dataDxfId="1"/>
    <tableColumn id="3" xr3:uid="{50BF7FC8-8C8A-4EF4-96AC-5D5344FF2E57}" uniqueName="3" name="resultado" queryTableFieldId="3" dataDxfId="0"/>
    <tableColumn id="4" xr3:uid="{FA304C05-43F5-41B0-9426-56821C090FE4}" uniqueName="4" name="lucro" queryTableFieldId="4"/>
    <tableColumn id="6" xr3:uid="{DB888DBE-C0A0-4C26-8B16-B7D4553B3CBC}" uniqueName="6" name="cicloRec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2B7D-4A18-4D48-BC94-E560401135BE}">
  <sheetPr codeName="Planilha1"/>
  <dimension ref="A1:L8"/>
  <sheetViews>
    <sheetView workbookViewId="0">
      <selection activeCell="C10" sqref="C10"/>
    </sheetView>
  </sheetViews>
  <sheetFormatPr defaultRowHeight="15" x14ac:dyDescent="0.25"/>
  <cols>
    <col min="1" max="1" width="10.7109375" bestFit="1" customWidth="1"/>
    <col min="2" max="2" width="13.5703125" style="7" bestFit="1" customWidth="1"/>
    <col min="4" max="4" width="10.7109375" bestFit="1" customWidth="1"/>
    <col min="5" max="5" width="13.5703125" style="7" bestFit="1" customWidth="1"/>
    <col min="6" max="6" width="24.7109375" bestFit="1" customWidth="1"/>
    <col min="7" max="7" width="11.7109375" bestFit="1" customWidth="1"/>
    <col min="8" max="8" width="10.7109375" bestFit="1" customWidth="1"/>
  </cols>
  <sheetData>
    <row r="1" spans="1:12" x14ac:dyDescent="0.25">
      <c r="E1" s="11"/>
      <c r="K1" s="15" t="s">
        <v>8</v>
      </c>
      <c r="L1" s="15"/>
    </row>
    <row r="2" spans="1:12" x14ac:dyDescent="0.25">
      <c r="A2" s="15" t="s">
        <v>12</v>
      </c>
      <c r="B2" s="15"/>
      <c r="G2" s="6"/>
      <c r="K2" t="s">
        <v>6</v>
      </c>
      <c r="L2" t="s">
        <v>7</v>
      </c>
    </row>
    <row r="3" spans="1:12" x14ac:dyDescent="0.25">
      <c r="A3" s="4" t="s">
        <v>11</v>
      </c>
      <c r="B3" t="s">
        <v>10</v>
      </c>
      <c r="D3" s="4" t="s">
        <v>11</v>
      </c>
      <c r="E3" t="s">
        <v>10</v>
      </c>
      <c r="F3" s="4"/>
      <c r="G3" s="4"/>
      <c r="H3" s="4"/>
      <c r="I3" s="4"/>
      <c r="J3" s="4"/>
      <c r="K3" s="4" t="s">
        <v>13</v>
      </c>
      <c r="L3" s="10">
        <f ca="1">VLOOKUP((TODAY()-2),A:B,2,FALSE)</f>
        <v>33</v>
      </c>
    </row>
    <row r="4" spans="1:12" x14ac:dyDescent="0.25">
      <c r="A4" s="5">
        <v>44154</v>
      </c>
      <c r="B4" s="3">
        <v>33</v>
      </c>
      <c r="D4" s="5">
        <v>44154</v>
      </c>
      <c r="E4" s="3">
        <v>33</v>
      </c>
    </row>
    <row r="5" spans="1:12" x14ac:dyDescent="0.25">
      <c r="A5" s="5" t="s">
        <v>15</v>
      </c>
      <c r="B5" s="3"/>
      <c r="D5" s="5" t="s">
        <v>15</v>
      </c>
      <c r="E5" s="3"/>
    </row>
    <row r="6" spans="1:12" x14ac:dyDescent="0.25">
      <c r="A6" s="5" t="s">
        <v>9</v>
      </c>
      <c r="B6" s="3">
        <v>33</v>
      </c>
      <c r="D6" s="5" t="s">
        <v>9</v>
      </c>
      <c r="E6" s="3">
        <v>33</v>
      </c>
    </row>
    <row r="7" spans="1:12" x14ac:dyDescent="0.25">
      <c r="B7" s="8"/>
    </row>
    <row r="8" spans="1:12" x14ac:dyDescent="0.25">
      <c r="C8" s="4"/>
      <c r="K8" s="4"/>
      <c r="L8" s="4"/>
    </row>
  </sheetData>
  <mergeCells count="2">
    <mergeCell ref="A2:B2"/>
    <mergeCell ref="K1:L1"/>
  </mergeCell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837A-B7AC-47A3-A424-035D251163D9}">
  <sheetPr codeName="Planilha2"/>
  <dimension ref="A2:G11"/>
  <sheetViews>
    <sheetView showGridLines="0" tabSelected="1" workbookViewId="0">
      <selection activeCell="D3" sqref="D3"/>
    </sheetView>
  </sheetViews>
  <sheetFormatPr defaultRowHeight="15" x14ac:dyDescent="0.25"/>
  <cols>
    <col min="1" max="1" width="11.28515625" bestFit="1" customWidth="1"/>
    <col min="2" max="2" width="23.140625" style="7" bestFit="1" customWidth="1"/>
    <col min="3" max="4" width="11.7109375" bestFit="1" customWidth="1"/>
    <col min="7" max="7" width="18.42578125" bestFit="1" customWidth="1"/>
  </cols>
  <sheetData>
    <row r="2" spans="1:7" ht="31.5" x14ac:dyDescent="0.5">
      <c r="B2" s="9">
        <f ca="1">LucroHoje</f>
        <v>33</v>
      </c>
    </row>
    <row r="7" spans="1:7" x14ac:dyDescent="0.25">
      <c r="A7" s="4" t="s">
        <v>1</v>
      </c>
      <c r="B7" s="4" t="s">
        <v>5</v>
      </c>
      <c r="C7" s="4" t="s">
        <v>2</v>
      </c>
    </row>
    <row r="8" spans="1:7" ht="23.25" x14ac:dyDescent="0.35">
      <c r="A8" s="13">
        <v>0.73645833333333333</v>
      </c>
      <c r="B8" s="14">
        <v>20</v>
      </c>
      <c r="C8" t="s">
        <v>4</v>
      </c>
      <c r="G8" s="12">
        <f>lucroFiltrado</f>
        <v>33</v>
      </c>
    </row>
    <row r="9" spans="1:7" ht="18.75" x14ac:dyDescent="0.25">
      <c r="A9" s="13">
        <v>0.73645833333333333</v>
      </c>
      <c r="B9" s="14">
        <v>3</v>
      </c>
      <c r="C9" t="s">
        <v>3</v>
      </c>
    </row>
    <row r="10" spans="1:7" ht="18.75" x14ac:dyDescent="0.25">
      <c r="A10" s="13">
        <v>0.73645833333333333</v>
      </c>
      <c r="B10" s="14">
        <v>10</v>
      </c>
      <c r="C10" t="s">
        <v>4</v>
      </c>
    </row>
    <row r="11" spans="1:7" ht="18.75" x14ac:dyDescent="0.25">
      <c r="A11" s="13" t="s">
        <v>15</v>
      </c>
      <c r="B11" s="14" t="s">
        <v>15</v>
      </c>
    </row>
  </sheetData>
  <conditionalFormatting sqref="B2">
    <cfRule type="cellIs" dxfId="11" priority="8" operator="greaterThan">
      <formula>0</formula>
    </cfRule>
    <cfRule type="cellIs" dxfId="10" priority="9" operator="equal">
      <formula>0</formula>
    </cfRule>
    <cfRule type="cellIs" dxfId="9" priority="10" operator="lessThan">
      <formula>0</formula>
    </cfRule>
  </conditionalFormatting>
  <conditionalFormatting sqref="D1:D1048576">
    <cfRule type="cellIs" dxfId="8" priority="1" operator="equal">
      <formula>"recuperação"</formula>
    </cfRule>
    <cfRule type="cellIs" dxfId="7" priority="6" operator="equal">
      <formula>"win"</formula>
    </cfRule>
    <cfRule type="cellIs" dxfId="6" priority="7" operator="equal">
      <formula>"loos"</formula>
    </cfRule>
  </conditionalFormatting>
  <conditionalFormatting sqref="G8">
    <cfRule type="cellIs" dxfId="5" priority="3" operator="greaterThan">
      <formula>0</formula>
    </cfRule>
    <cfRule type="cellIs" dxfId="4" priority="4" operator="equal">
      <formula>0</formula>
    </cfRule>
    <cfRule type="cellIs" dxfId="3" priority="5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C1C1-6943-4146-9194-F663BF30259D}">
  <dimension ref="A1:F8"/>
  <sheetViews>
    <sheetView workbookViewId="0">
      <selection activeCell="E8" sqref="E8"/>
    </sheetView>
  </sheetViews>
  <sheetFormatPr defaultRowHeight="15" x14ac:dyDescent="0.25"/>
  <cols>
    <col min="1" max="1" width="10.7109375" bestFit="1" customWidth="1"/>
    <col min="2" max="2" width="8.140625" bestFit="1" customWidth="1"/>
    <col min="3" max="3" width="11.7109375" bestFit="1" customWidth="1"/>
    <col min="4" max="4" width="7.7109375" bestFit="1" customWidth="1"/>
    <col min="5" max="5" width="10.42578125" bestFit="1" customWidth="1"/>
    <col min="6" max="6" width="18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5</v>
      </c>
      <c r="E1" t="s">
        <v>16</v>
      </c>
    </row>
    <row r="2" spans="1:6" x14ac:dyDescent="0.25">
      <c r="A2" s="1">
        <v>44154</v>
      </c>
      <c r="B2" s="2">
        <v>0.73645833333333333</v>
      </c>
      <c r="C2" s="3" t="s">
        <v>3</v>
      </c>
      <c r="D2">
        <v>3</v>
      </c>
      <c r="E2">
        <v>0</v>
      </c>
    </row>
    <row r="3" spans="1:6" x14ac:dyDescent="0.25">
      <c r="A3" s="1">
        <v>44154</v>
      </c>
      <c r="B3" s="2">
        <v>0.73645833333333333</v>
      </c>
      <c r="C3" s="3" t="s">
        <v>4</v>
      </c>
      <c r="D3">
        <v>10</v>
      </c>
      <c r="E3">
        <v>0</v>
      </c>
    </row>
    <row r="4" spans="1:6" x14ac:dyDescent="0.25">
      <c r="A4" s="1">
        <v>44154</v>
      </c>
      <c r="B4" s="2">
        <v>0.73645833333333333</v>
      </c>
      <c r="C4" s="3" t="s">
        <v>4</v>
      </c>
      <c r="D4">
        <v>20</v>
      </c>
      <c r="E4">
        <v>0</v>
      </c>
    </row>
    <row r="5" spans="1:6" x14ac:dyDescent="0.25">
      <c r="A5" s="1"/>
      <c r="B5" s="2"/>
      <c r="C5" s="3" t="s">
        <v>14</v>
      </c>
    </row>
    <row r="6" spans="1:6" x14ac:dyDescent="0.25">
      <c r="A6" s="1"/>
      <c r="B6" s="2"/>
      <c r="C6" s="3" t="s">
        <v>14</v>
      </c>
    </row>
    <row r="8" spans="1:6" x14ac:dyDescent="0.25">
      <c r="F8" s="16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9A6E9-1D7B-4C7E-8874-924C247CF2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indicators</vt:lpstr>
      <vt:lpstr>INDEX</vt:lpstr>
      <vt:lpstr>Planilha1</vt:lpstr>
      <vt:lpstr>lucroFiltrado</vt:lpstr>
      <vt:lpstr>LucroHoje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Eduardo</dc:creator>
  <cp:lastModifiedBy>User</cp:lastModifiedBy>
  <dcterms:created xsi:type="dcterms:W3CDTF">2015-06-05T18:19:34Z</dcterms:created>
  <dcterms:modified xsi:type="dcterms:W3CDTF">2020-11-21T06:16:17Z</dcterms:modified>
</cp:coreProperties>
</file>