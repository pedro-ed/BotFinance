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D:\PROJECTS\Documents\Machine Learning\IQBot\botPy\Log\"/>
    </mc:Choice>
  </mc:AlternateContent>
  <xr:revisionPtr revIDLastSave="0" documentId="13_ncr:1_{4B386E55-0FB5-41BB-87F9-396A7FA7F197}" xr6:coauthVersionLast="45" xr6:coauthVersionMax="45" xr10:uidLastSave="{00000000-0000-0000-0000-000000000000}"/>
  <bookViews>
    <workbookView xWindow="-120" yWindow="-120" windowWidth="20730" windowHeight="11160" activeTab="2" xr2:uid="{00000000-000D-0000-FFFF-FFFF00000000}"/>
  </bookViews>
  <sheets>
    <sheet name="indicators" sheetId="4" r:id="rId1"/>
    <sheet name="INDEX" sheetId="5" r:id="rId2"/>
    <sheet name="Planilha1" sheetId="6" r:id="rId3"/>
  </sheets>
  <definedNames>
    <definedName name="DadosExternos_2" localSheetId="2" hidden="1">Planilha1!$A$1:$E$8</definedName>
    <definedName name="lucroFiltrado">indicators!$E$4</definedName>
    <definedName name="LucroHoje">indicators!$L$3</definedName>
    <definedName name="SegmentaçãodeDados_data">#N/A</definedName>
  </definedNames>
  <calcPr calcId="191029"/>
  <pivotCaches>
    <pivotCache cacheId="78" r:id="rId4"/>
  </pivotCaches>
  <extLst>
    <ext xmlns:x14="http://schemas.microsoft.com/office/spreadsheetml/2009/9/main" uri="{BBE1A952-AA13-448e-AADC-164F8A28A991}">
      <x14:slicerCaches>
        <x14:slicerCache r:id="rId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4" l="1"/>
  <c r="G8" i="5" l="1"/>
  <c r="B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E05E5EC-21DA-4F45-AC5E-AF5307A24746}" keepAlive="1" name="Consulta - log" description="Conexão com a consulta 'log' na pasta de trabalho." type="5" refreshedVersion="6" background="1" saveData="1">
    <dbPr connection="Provider=Microsoft.Mashup.OleDb.1;Data Source=$Workbook$;Location=log;Extended Properties=&quot;&quot;" command="SELECT * FROM [log]"/>
  </connection>
</connections>
</file>

<file path=xl/sharedStrings.xml><?xml version="1.0" encoding="utf-8"?>
<sst xmlns="http://schemas.openxmlformats.org/spreadsheetml/2006/main" count="34" uniqueCount="16">
  <si>
    <t>data</t>
  </si>
  <si>
    <t>hora</t>
  </si>
  <si>
    <t>resultado</t>
  </si>
  <si>
    <t>win</t>
  </si>
  <si>
    <t>lucro</t>
  </si>
  <si>
    <t>name</t>
  </si>
  <si>
    <t>value</t>
  </si>
  <si>
    <t>Indicadores</t>
  </si>
  <si>
    <t>Total Geral</t>
  </si>
  <si>
    <t>Soma de lucro</t>
  </si>
  <si>
    <t>Dias</t>
  </si>
  <si>
    <t>Lucro de cada Dia</t>
  </si>
  <si>
    <t>LucroHoje</t>
  </si>
  <si>
    <t>cicloRec</t>
  </si>
  <si>
    <t>loss</t>
  </si>
  <si>
    <t>1.56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</si>
</sst>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[$-F400]h:mm:ss\ AM/PM"/>
  </numFmts>
  <fonts count="7" x14ac:knownFonts="1">
    <font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sz val="24"/>
      <color theme="1"/>
      <name val="Century Gothic"/>
      <family val="2"/>
      <scheme val="minor"/>
    </font>
    <font>
      <sz val="18"/>
      <color theme="1"/>
      <name val="Century Gothic"/>
      <family val="2"/>
      <scheme val="minor"/>
    </font>
    <font>
      <b/>
      <sz val="14"/>
      <color theme="2" tint="-0.89999084444715716"/>
      <name val="Century Gothic"/>
      <family val="2"/>
      <scheme val="minor"/>
    </font>
    <font>
      <u/>
      <sz val="11"/>
      <color theme="1"/>
      <name val="Century Gothic"/>
      <family val="2"/>
      <scheme val="minor"/>
    </font>
    <font>
      <b/>
      <sz val="14"/>
      <color theme="1"/>
      <name val="Century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/>
    <xf numFmtId="44" fontId="0" fillId="0" borderId="0" xfId="1" applyFont="1"/>
    <xf numFmtId="44" fontId="0" fillId="0" borderId="0" xfId="1" applyFont="1" applyAlignment="1"/>
    <xf numFmtId="44" fontId="0" fillId="0" borderId="0" xfId="1" pivotButton="1" applyFont="1"/>
    <xf numFmtId="44" fontId="0" fillId="0" borderId="0" xfId="1" applyFont="1" applyAlignment="1">
      <alignment horizontal="left"/>
    </xf>
    <xf numFmtId="44" fontId="3" fillId="0" borderId="0" xfId="1" applyFont="1"/>
    <xf numFmtId="44" fontId="4" fillId="0" borderId="0" xfId="0" applyNumberFormat="1" applyFont="1" applyAlignment="1">
      <alignment horizontal="center" vertical="center"/>
    </xf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164" fontId="6" fillId="0" borderId="0" xfId="0" applyNumberFormat="1" applyFont="1" applyAlignment="1">
      <alignment horizontal="center" vertical="center"/>
    </xf>
    <xf numFmtId="0" fontId="0" fillId="0" borderId="0" xfId="0" applyFont="1"/>
    <xf numFmtId="44" fontId="2" fillId="0" borderId="0" xfId="1" applyFont="1" applyAlignment="1">
      <alignment horizontal="right"/>
    </xf>
    <xf numFmtId="0" fontId="0" fillId="0" borderId="0" xfId="0" pivotButton="1" applyAlignment="1">
      <alignment horizontal="right"/>
    </xf>
    <xf numFmtId="44" fontId="4" fillId="0" borderId="0" xfId="0" applyNumberFormat="1" applyFont="1" applyAlignment="1">
      <alignment horizontal="right" vertical="center"/>
    </xf>
    <xf numFmtId="44" fontId="0" fillId="0" borderId="0" xfId="1" applyFont="1" applyAlignment="1">
      <alignment horizontal="right"/>
    </xf>
  </cellXfs>
  <cellStyles count="2">
    <cellStyle name="Moeda" xfId="1" builtinId="4"/>
    <cellStyle name="Normal" xfId="0" builtinId="0"/>
  </cellStyles>
  <dxfs count="87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FFFF00"/>
      </font>
    </dxf>
    <dxf>
      <font>
        <color rgb="FF92D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FFFF00"/>
      </font>
    </dxf>
    <dxf>
      <font>
        <color rgb="FF92D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FFFF00"/>
      </font>
    </dxf>
    <dxf>
      <font>
        <color rgb="FF92D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</dxf>
    <dxf>
      <font>
        <color rgb="FFFFFF00"/>
      </font>
    </dxf>
    <dxf>
      <font>
        <color rgb="FF92D050"/>
      </font>
    </dxf>
    <dxf>
      <font>
        <color theme="2" tint="-0.89999084444715716"/>
      </font>
    </dxf>
    <dxf>
      <font>
        <i val="0"/>
      </font>
    </dxf>
    <dxf>
      <font>
        <b/>
      </font>
    </dxf>
    <dxf>
      <font>
        <sz val="14"/>
      </font>
    </dxf>
    <dxf>
      <alignment vertical="center"/>
    </dxf>
    <dxf>
      <alignment horizontal="center"/>
    </dxf>
    <dxf>
      <font>
        <sz val="14"/>
      </font>
    </dxf>
    <dxf>
      <alignment vertical="center"/>
    </dxf>
    <dxf>
      <alignment horizontal="center"/>
    </dxf>
    <dxf>
      <font>
        <sz val="14"/>
      </font>
    </dxf>
    <dxf>
      <numFmt numFmtId="34" formatCode="_-&quot;R$&quot;\ * #,##0.00_-;\-&quot;R$&quot;\ * #,##0.00_-;_-&quot;R$&quot;\ * &quot;-&quot;??_-;_-@_-"/>
    </dxf>
    <dxf>
      <font>
        <b/>
      </font>
    </dxf>
    <dxf>
      <font>
        <b/>
      </font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center"/>
    </dxf>
    <dxf>
      <alignment horizontal="center"/>
    </dxf>
    <dxf>
      <alignment horizontal="right"/>
    </dxf>
    <dxf>
      <alignment horizontal="center"/>
    </dxf>
    <dxf>
      <alignment horizontal="center"/>
    </dxf>
    <dxf>
      <alignment horizontal="right"/>
    </dxf>
    <dxf>
      <alignment horizontal="center"/>
    </dxf>
    <dxf>
      <alignment horizontal="right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theme="2" tint="-0.89999084444715716"/>
      </font>
    </dxf>
    <dxf>
      <font>
        <i val="0"/>
      </font>
    </dxf>
    <dxf>
      <font>
        <b/>
      </font>
    </dxf>
    <dxf>
      <font>
        <sz val="14"/>
      </font>
    </dxf>
    <dxf>
      <alignment vertical="center"/>
    </dxf>
    <dxf>
      <alignment horizontal="center"/>
    </dxf>
    <dxf>
      <font>
        <sz val="14"/>
      </font>
    </dxf>
    <dxf>
      <alignment vertical="center"/>
    </dxf>
    <dxf>
      <alignment horizontal="center"/>
    </dxf>
    <dxf>
      <font>
        <sz val="14"/>
      </font>
    </dxf>
    <dxf>
      <numFmt numFmtId="34" formatCode="_-&quot;R$&quot;\ * #,##0.00_-;\-&quot;R$&quot;\ * #,##0.00_-;_-&quot;R$&quot;\ * &quot;-&quot;??_-;_-@_-"/>
    </dxf>
    <dxf>
      <font>
        <b/>
      </font>
    </dxf>
    <dxf>
      <font>
        <b/>
      </font>
    </dxf>
    <dxf>
      <numFmt numFmtId="0" formatCode="General"/>
    </dxf>
    <dxf>
      <numFmt numFmtId="164" formatCode="[$-F400]h:mm:ss\ AM/PM"/>
    </dxf>
    <dxf>
      <numFmt numFmtId="19" formatCode="dd/mm/yyyy"/>
    </dxf>
    <dxf>
      <font>
        <b/>
      </font>
    </dxf>
    <dxf>
      <font>
        <b/>
      </font>
    </dxf>
    <dxf>
      <numFmt numFmtId="34" formatCode="_-&quot;R$&quot;\ * #,##0.00_-;\-&quot;R$&quot;\ * #,##0.00_-;_-&quot;R$&quot;\ * &quot;-&quot;??_-;_-@_-"/>
    </dxf>
    <dxf>
      <font>
        <sz val="14"/>
      </font>
    </dxf>
    <dxf>
      <alignment horizontal="center"/>
    </dxf>
    <dxf>
      <alignment vertical="center"/>
    </dxf>
    <dxf>
      <font>
        <sz val="14"/>
      </font>
    </dxf>
    <dxf>
      <alignment horizontal="center"/>
    </dxf>
    <dxf>
      <alignment vertical="center"/>
    </dxf>
    <dxf>
      <font>
        <sz val="14"/>
      </font>
    </dxf>
    <dxf>
      <font>
        <b/>
      </font>
    </dxf>
    <dxf>
      <font>
        <i val="0"/>
      </font>
    </dxf>
    <dxf>
      <font>
        <color theme="2" tint="-0.89999084444715716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07/relationships/slicerCache" Target="slicerCaches/slicerCache1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161926</xdr:rowOff>
    </xdr:from>
    <xdr:to>
      <xdr:col>2</xdr:col>
      <xdr:colOff>295275</xdr:colOff>
      <xdr:row>4</xdr:row>
      <xdr:rowOff>66676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7FDFCFA-804F-45D3-B9EB-11205B3154B7}"/>
            </a:ext>
          </a:extLst>
        </xdr:cNvPr>
        <xdr:cNvSpPr/>
      </xdr:nvSpPr>
      <xdr:spPr>
        <a:xfrm>
          <a:off x="95250" y="161926"/>
          <a:ext cx="2181225" cy="876300"/>
        </a:xfrm>
        <a:prstGeom prst="roundRect">
          <a:avLst>
            <a:gd name="adj" fmla="val 23709"/>
          </a:avLst>
        </a:prstGeom>
        <a:noFill/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HOJE:</a:t>
          </a:r>
          <a:endParaRPr lang="pt-BR" sz="2000"/>
        </a:p>
        <a:p>
          <a:pPr algn="l"/>
          <a:endParaRPr lang="pt-BR" sz="1100"/>
        </a:p>
      </xdr:txBody>
    </xdr:sp>
    <xdr:clientData/>
  </xdr:twoCellAnchor>
  <xdr:twoCellAnchor editAs="oneCell">
    <xdr:from>
      <xdr:col>7</xdr:col>
      <xdr:colOff>304800</xdr:colOff>
      <xdr:row>5</xdr:row>
      <xdr:rowOff>171450</xdr:rowOff>
    </xdr:from>
    <xdr:to>
      <xdr:col>10</xdr:col>
      <xdr:colOff>76200</xdr:colOff>
      <xdr:row>16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data">
              <a:extLst>
                <a:ext uri="{FF2B5EF4-FFF2-40B4-BE49-F238E27FC236}">
                  <a16:creationId xmlns:a16="http://schemas.microsoft.com/office/drawing/2014/main" id="{A57F9AF8-217E-43CE-9775-4D33912AFE6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438900" y="133350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314325</xdr:colOff>
      <xdr:row>6</xdr:row>
      <xdr:rowOff>114301</xdr:rowOff>
    </xdr:from>
    <xdr:to>
      <xdr:col>7</xdr:col>
      <xdr:colOff>76200</xdr:colOff>
      <xdr:row>8</xdr:row>
      <xdr:rowOff>47625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CB78D8E5-151C-40DF-97D8-2FD4C587459A}"/>
            </a:ext>
          </a:extLst>
        </xdr:cNvPr>
        <xdr:cNvSpPr/>
      </xdr:nvSpPr>
      <xdr:spPr>
        <a:xfrm>
          <a:off x="3457575" y="1466851"/>
          <a:ext cx="2209800" cy="419099"/>
        </a:xfrm>
        <a:prstGeom prst="roundRect">
          <a:avLst>
            <a:gd name="adj" fmla="val 23709"/>
          </a:avLst>
        </a:prstGeom>
        <a:noFill/>
        <a:ln w="38100"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pt-BR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LUCRO:</a:t>
          </a:r>
          <a:endParaRPr lang="pt-BR" sz="2000"/>
        </a:p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156.188299189816" createdVersion="6" refreshedVersion="6" minRefreshableVersion="3" recordCount="7" xr:uid="{730C54FA-91D9-4C42-810B-AAE4B4F5ECCA}">
  <cacheSource type="worksheet">
    <worksheetSource name="log"/>
  </cacheSource>
  <cacheFields count="5">
    <cacheField name="data" numFmtId="14">
      <sharedItems containsSemiMixedTypes="0" containsNonDate="0" containsDate="1" containsString="0" minDate="2020-11-19T00:00:00" maxDate="2020-11-22T00:00:00" count="3">
        <d v="2020-11-21T00:00:00"/>
        <d v="2020-11-19T00:00:00" u="1"/>
        <d v="2020-11-20T00:00:00" u="1"/>
      </sharedItems>
    </cacheField>
    <cacheField name="hora" numFmtId="164">
      <sharedItems containsSemiMixedTypes="0" containsNonDate="0" containsDate="1" containsString="0" minDate="1899-12-30T06:33:00" maxDate="1899-12-30T17:40:30" count="8">
        <d v="1899-12-30T06:33:00"/>
        <d v="1899-12-30T06:35:00"/>
        <d v="1899-12-30T06:38:00"/>
        <d v="1899-12-30T06:40:00"/>
        <d v="1899-12-30T06:46:00"/>
        <d v="1899-12-30T06:48:00"/>
        <d v="1899-12-30T07:03:32"/>
        <d v="1899-12-30T17:40:30" u="1"/>
      </sharedItems>
    </cacheField>
    <cacheField name="resultado" numFmtId="0">
      <sharedItems count="4">
        <s v="loss"/>
        <s v="win"/>
        <s v="" u="1"/>
        <s v="loos" u="1"/>
      </sharedItems>
    </cacheField>
    <cacheField name="lucro" numFmtId="0">
      <sharedItems containsSemiMixedTypes="0" containsString="0" containsNumber="1" minValue="-20" maxValue="156" count="16">
        <n v="-2"/>
        <n v="1.56"/>
        <n v="-20" u="1"/>
        <n v="100" u="1"/>
        <n v="5" u="1"/>
        <n v="70" u="1"/>
        <n v="2" u="1"/>
        <n v="50" u="1"/>
        <n v="90" u="1"/>
        <n v="20" u="1"/>
        <n v="2.21" u="1"/>
        <n v="3" u="1"/>
        <n v="10" u="1"/>
        <n v="80" u="1"/>
        <n v="30" u="1"/>
        <n v="156" u="1"/>
      </sharedItems>
    </cacheField>
    <cacheField name="cicloRec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53904771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x v="0"/>
    <n v="0"/>
  </r>
  <r>
    <x v="0"/>
    <x v="1"/>
    <x v="0"/>
    <x v="0"/>
    <n v="0"/>
  </r>
  <r>
    <x v="0"/>
    <x v="2"/>
    <x v="0"/>
    <x v="0"/>
    <n v="0"/>
  </r>
  <r>
    <x v="0"/>
    <x v="3"/>
    <x v="1"/>
    <x v="1"/>
    <n v="0"/>
  </r>
  <r>
    <x v="0"/>
    <x v="4"/>
    <x v="1"/>
    <x v="1"/>
    <n v="0"/>
  </r>
  <r>
    <x v="0"/>
    <x v="5"/>
    <x v="0"/>
    <x v="0"/>
    <n v="0"/>
  </r>
  <r>
    <x v="0"/>
    <x v="6"/>
    <x v="1"/>
    <x v="1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48D5C1-4DBF-4924-AE1A-5F3F817521F8}" name="Tabela dinâmica4" cacheId="7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rowHeaderCaption="Dias">
  <location ref="D3:E5" firstHeaderRow="1" firstDataRow="1" firstDataCol="1"/>
  <pivotFields count="5">
    <pivotField axis="axisRow" numFmtId="14" showAll="0">
      <items count="4">
        <item h="1" m="1" x="1"/>
        <item h="1" m="1" x="2"/>
        <item x="0"/>
        <item t="default"/>
      </items>
    </pivotField>
    <pivotField numFmtId="164" showAll="0"/>
    <pivotField showAll="0"/>
    <pivotField dataField="1" showAll="0"/>
    <pivotField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oma de lucr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C075208-95A3-485A-B746-C8FF88590908}" name="Tabela dinâmica1" cacheId="7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" rowHeaderCaption="Dias">
  <location ref="A3:B5" firstHeaderRow="1" firstDataRow="1" firstDataCol="1"/>
  <pivotFields count="5">
    <pivotField axis="axisRow" numFmtId="14" showAll="0">
      <items count="4">
        <item m="1" x="1"/>
        <item m="1" x="2"/>
        <item x="0"/>
        <item t="default"/>
      </items>
    </pivotField>
    <pivotField numFmtId="164" showAll="0"/>
    <pivotField showAll="0"/>
    <pivotField dataField="1" showAll="0"/>
    <pivotField showAll="0"/>
  </pivotFields>
  <rowFields count="1">
    <field x="0"/>
  </rowFields>
  <rowItems count="2">
    <i>
      <x v="2"/>
    </i>
    <i t="grand">
      <x/>
    </i>
  </rowItems>
  <colItems count="1">
    <i/>
  </colItems>
  <dataFields count="1">
    <dataField name="Soma de lucro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C59E9F-4BB1-4B04-86C2-716DD7C1267F}" name="Tabela dinâmica3" cacheId="78" applyNumberFormats="0" applyBorderFormats="0" applyFontFormats="0" applyPatternFormats="0" applyAlignmentFormats="0" applyWidthHeightFormats="1" dataCaption="Valores" updatedVersion="6" minRefreshableVersion="3" showDrill="0" useAutoFormatting="1" rowGrandTotals="0" itemPrintTitles="1" createdVersion="6" indent="0" compact="0" compactData="0" multipleFieldFilters="0" rowHeaderCaption="Dias">
  <location ref="A7:C14" firstHeaderRow="1" firstDataRow="1" firstDataCol="3"/>
  <pivotFields count="5">
    <pivotField compact="0" numFmtId="14" outline="0" showAll="0" defaultSubtotal="0">
      <items count="3">
        <item h="1" m="1" x="1"/>
        <item h="1"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64" outline="0" showAll="0" defaultSubtotal="0">
      <items count="8">
        <item m="1" x="7"/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m="1" x="3"/>
        <item x="1"/>
        <item m="1"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6">
        <item x="0"/>
        <item m="1" x="6"/>
        <item m="1" x="10"/>
        <item m="1" x="4"/>
        <item m="1" x="13"/>
        <item m="1" x="8"/>
        <item m="1" x="3"/>
        <item m="1" x="5"/>
        <item m="1" x="14"/>
        <item m="1" x="9"/>
        <item m="1" x="7"/>
        <item m="1" x="11"/>
        <item m="1" x="12"/>
        <item m="1" x="2"/>
        <item m="1"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3"/>
    <field x="2"/>
  </rowFields>
  <rowItems count="7">
    <i>
      <x v="1"/>
      <x/>
      <x v="3"/>
    </i>
    <i>
      <x v="2"/>
      <x/>
      <x v="3"/>
    </i>
    <i>
      <x v="3"/>
      <x/>
      <x v="3"/>
    </i>
    <i>
      <x v="4"/>
      <x v="15"/>
      <x v="1"/>
    </i>
    <i>
      <x v="5"/>
      <x v="15"/>
      <x v="1"/>
    </i>
    <i>
      <x v="6"/>
      <x/>
      <x v="3"/>
    </i>
    <i>
      <x v="7"/>
      <x v="15"/>
      <x v="1"/>
    </i>
  </rowItems>
  <colItems count="1">
    <i/>
  </colItems>
  <formats count="16">
    <format dxfId="86">
      <pivotArea dataOnly="0" labelOnly="1" outline="0" fieldPosition="0">
        <references count="1">
          <reference field="3" count="0"/>
        </references>
      </pivotArea>
    </format>
    <format dxfId="85">
      <pivotArea dataOnly="0" labelOnly="1" outline="0" fieldPosition="0">
        <references count="1">
          <reference field="3" count="0"/>
        </references>
      </pivotArea>
    </format>
    <format dxfId="84">
      <pivotArea dataOnly="0" labelOnly="1" outline="0" fieldPosition="0">
        <references count="1">
          <reference field="3" count="0"/>
        </references>
      </pivotArea>
    </format>
    <format dxfId="83">
      <pivotArea dataOnly="0" labelOnly="1" outline="0" fieldPosition="0">
        <references count="1">
          <reference field="3" count="0"/>
        </references>
      </pivotArea>
    </format>
    <format dxfId="82">
      <pivotArea dataOnly="0" labelOnly="1" outline="0" fieldPosition="0">
        <references count="1">
          <reference field="3" count="0"/>
        </references>
      </pivotArea>
    </format>
    <format dxfId="81">
      <pivotArea dataOnly="0" labelOnly="1" outline="0" fieldPosition="0">
        <references count="1">
          <reference field="3" count="0"/>
        </references>
      </pivotArea>
    </format>
    <format dxfId="80">
      <pivotArea dataOnly="0" labelOnly="1" outline="0" fieldPosition="0">
        <references count="1">
          <reference field="1" count="0"/>
        </references>
      </pivotArea>
    </format>
    <format dxfId="79">
      <pivotArea dataOnly="0" labelOnly="1" outline="0" fieldPosition="0">
        <references count="1">
          <reference field="1" count="0"/>
        </references>
      </pivotArea>
    </format>
    <format dxfId="78">
      <pivotArea dataOnly="0" labelOnly="1" outline="0" fieldPosition="0">
        <references count="1">
          <reference field="1" count="0"/>
        </references>
      </pivotArea>
    </format>
    <format dxfId="77">
      <pivotArea dataOnly="0" labelOnly="1" outline="0" fieldPosition="0">
        <references count="1">
          <reference field="2" count="0"/>
        </references>
      </pivotArea>
    </format>
    <format dxfId="76">
      <pivotArea dataOnly="0" labelOnly="1" outline="0" fieldPosition="0">
        <references count="1">
          <reference field="3" count="0"/>
        </references>
      </pivotArea>
    </format>
    <format dxfId="75">
      <pivotArea dataOnly="0" labelOnly="1" outline="0" fieldPosition="0">
        <references count="1">
          <reference field="2" count="0"/>
        </references>
      </pivotArea>
    </format>
    <format dxfId="74">
      <pivotArea dataOnly="0" labelOnly="1" outline="0" fieldPosition="0">
        <references count="1">
          <reference field="1" count="0"/>
        </references>
      </pivotArea>
    </format>
    <format dxfId="47">
      <pivotArea field="3" type="button" dataOnly="0" labelOnly="1" outline="0" axis="axisRow" fieldPosition="1"/>
    </format>
    <format dxfId="45">
      <pivotArea dataOnly="0" labelOnly="1" outline="0" fieldPosition="0">
        <references count="2">
          <reference field="1" count="1" selected="0">
            <x v="1"/>
          </reference>
          <reference field="3" count="1">
            <x v="0"/>
          </reference>
        </references>
      </pivotArea>
    </format>
    <format dxfId="42">
      <pivotArea dataOnly="0" labelOnly="1" outline="0" fieldPosition="0">
        <references count="2">
          <reference field="1" count="1" selected="0">
            <x v="6"/>
          </reference>
          <reference field="3" count="1">
            <x v="0"/>
          </reference>
        </references>
      </pivotArea>
    </format>
  </formats>
  <pivotTableStyleInfo name="PivotStyleDark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1" xr16:uid="{F8C92B0F-5679-4248-A90C-9B2DFC938AA0}" autoFormatId="16" applyNumberFormats="0" applyBorderFormats="0" applyFontFormats="0" applyPatternFormats="0" applyAlignmentFormats="0" applyWidthHeightFormats="0">
  <queryTableRefresh nextId="7">
    <queryTableFields count="5">
      <queryTableField id="1" name="data" tableColumnId="1"/>
      <queryTableField id="2" name="hora" tableColumnId="2"/>
      <queryTableField id="3" name="resultado" tableColumnId="3"/>
      <queryTableField id="4" name="lucro" tableColumnId="4"/>
      <queryTableField id="6" name="cicloRec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ata" xr10:uid="{3D2D5EFA-AF60-42F2-BA8A-E32CDA8872BD}" sourceName="data">
  <pivotTables>
    <pivotTable tabId="5" name="Tabela dinâmica3"/>
    <pivotTable tabId="4" name="Tabela dinâmica4"/>
  </pivotTables>
  <data>
    <tabular pivotCacheId="1539047711" sortOrder="descending">
      <items count="3">
        <i x="0" s="1"/>
        <i x="2" nd="1"/>
        <i x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a" xr10:uid="{EE88A6D4-F974-4BC6-9678-28AC54BEA95B}" cache="SegmentaçãodeDados_data" caption="Selecione o dia" style="SlicerStyleDark5" rowHeight="241300"/>
</slicer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FA3713-871F-4652-8730-9BE2DDE7FC9F}" name="Tabela3" displayName="Tabela3" ref="K2:L14" totalsRowShown="0">
  <autoFilter ref="K2:L14" xr:uid="{AF39DAFE-188D-4CD4-BCEC-DA5BCD00A963}"/>
  <tableColumns count="2">
    <tableColumn id="1" xr3:uid="{C18B5B73-24FA-4095-8783-D964FE996900}" name="name"/>
    <tableColumn id="2" xr3:uid="{3EBCDF67-F2EB-4161-93E8-E3408D792A0A}" name="valu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1187719-2B8F-4F3A-AFAB-DEFB0EDC9728}" name="log" displayName="log" ref="A1:E8" tableType="queryTable" totalsRowShown="0">
  <autoFilter ref="A1:E8" xr:uid="{2BBB63EB-17E8-4B3A-B3E2-49DD08C328B4}"/>
  <tableColumns count="5">
    <tableColumn id="1" xr3:uid="{4D8F4217-220C-4EF2-A5E2-0B8F26C9417F}" uniqueName="1" name="data" queryTableFieldId="1" dataDxfId="73"/>
    <tableColumn id="2" xr3:uid="{CABEFD3C-8DAD-4A67-9024-2592A4EB0034}" uniqueName="2" name="hora" queryTableFieldId="2" dataDxfId="72"/>
    <tableColumn id="3" xr3:uid="{50BF7FC8-8C8A-4EF4-96AC-5D5344FF2E57}" uniqueName="3" name="resultado" queryTableFieldId="3" dataDxfId="71"/>
    <tableColumn id="4" xr3:uid="{FA304C05-43F5-41B0-9426-56821C090FE4}" uniqueName="4" name="lucro" queryTableFieldId="4"/>
    <tableColumn id="6" xr3:uid="{DB888DBE-C0A0-4C26-8B16-B7D4553B3CBC}" uniqueName="6" name="cicloRec" queryTableFieldId="6"/>
  </tableColumns>
  <tableStyleInfo name="TableStyleMedium7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Citável">
  <a:themeElements>
    <a:clrScheme name="Amarelo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Citável">
      <a:maj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Citável">
      <a:fillStyleLst>
        <a:solidFill>
          <a:schemeClr val="phClr"/>
        </a:solidFill>
        <a:gradFill rotWithShape="1">
          <a:gsLst>
            <a:gs pos="0">
              <a:schemeClr val="phClr">
                <a:tint val="80000"/>
                <a:lumMod val="105000"/>
              </a:schemeClr>
            </a:gs>
            <a:gs pos="100000">
              <a:schemeClr val="phClr">
                <a:tint val="90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98000"/>
                <a:lumMod val="102000"/>
              </a:schemeClr>
              <a:schemeClr val="phClr">
                <a:shade val="98000"/>
                <a:lumMod val="98000"/>
              </a:schemeClr>
            </a:duotone>
          </a:blip>
          <a:tile tx="0" ty="0" sx="100000" sy="100000" flip="none" algn="tl"/>
        </a:blipFill>
      </a:fillStyleLst>
      <a:lnStyleLst>
        <a:ln w="9525" cap="rnd" cmpd="sng" algn="ctr">
          <a:solidFill>
            <a:schemeClr val="phClr"/>
          </a:solidFill>
          <a:prstDash val="solid"/>
        </a:ln>
        <a:ln w="15875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innerShdw blurRad="63500" dist="25400" dir="13500000">
              <a:srgbClr val="000000">
                <a:alpha val="75000"/>
              </a:srgbClr>
            </a:innerShdw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100000"/>
              </a:schemeClr>
            </a:gs>
            <a:gs pos="100000">
              <a:schemeClr val="phClr">
                <a:tint val="84000"/>
                <a:shade val="84000"/>
                <a:lumMod val="9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84000"/>
                <a:shade val="90000"/>
                <a:satMod val="120000"/>
                <a:lumMod val="90000"/>
              </a:schemeClr>
            </a:gs>
            <a:gs pos="100000">
              <a:schemeClr val="phClr"/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Quotable" id="{39EC5628-30ED-4578-ACD8-9820EDB8E15A}" vid="{6F3559E9-1A4C-49D8-94D4-F41003531C49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3.xml"/><Relationship Id="rId5" Type="http://schemas.microsoft.com/office/2007/relationships/slicer" Target="../slicers/slicer1.xml"/><Relationship Id="rId4" Type="http://schemas.openxmlformats.org/officeDocument/2006/relationships/image" Target="../media/image2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82B7D-4A18-4D48-BC94-E560401135BE}">
  <sheetPr codeName="Planilha1"/>
  <dimension ref="A1:L8"/>
  <sheetViews>
    <sheetView workbookViewId="0">
      <selection activeCell="L4" sqref="L4"/>
    </sheetView>
  </sheetViews>
  <sheetFormatPr defaultRowHeight="16.5" x14ac:dyDescent="0.3"/>
  <cols>
    <col min="1" max="1" width="10.875" bestFit="1" customWidth="1"/>
    <col min="2" max="2" width="14.5" style="7" bestFit="1" customWidth="1"/>
    <col min="4" max="4" width="10.875" bestFit="1" customWidth="1"/>
    <col min="5" max="5" width="14.5" style="7" bestFit="1" customWidth="1"/>
    <col min="6" max="6" width="24.625" customWidth="1"/>
    <col min="7" max="7" width="11.625" customWidth="1"/>
    <col min="8" max="8" width="10.625" customWidth="1"/>
    <col min="12" max="12" width="10.5" customWidth="1"/>
  </cols>
  <sheetData>
    <row r="1" spans="1:12" x14ac:dyDescent="0.3">
      <c r="E1" s="10"/>
      <c r="K1" s="14" t="s">
        <v>7</v>
      </c>
      <c r="L1" s="14"/>
    </row>
    <row r="2" spans="1:12" x14ac:dyDescent="0.3">
      <c r="A2" s="14" t="s">
        <v>11</v>
      </c>
      <c r="B2" s="14"/>
      <c r="G2" s="6"/>
      <c r="K2" t="s">
        <v>5</v>
      </c>
      <c r="L2" t="s">
        <v>6</v>
      </c>
    </row>
    <row r="3" spans="1:12" x14ac:dyDescent="0.3">
      <c r="A3" s="4" t="s">
        <v>10</v>
      </c>
      <c r="B3" t="s">
        <v>9</v>
      </c>
      <c r="D3" s="4" t="s">
        <v>10</v>
      </c>
      <c r="E3" t="s">
        <v>9</v>
      </c>
      <c r="F3" s="4"/>
      <c r="G3" s="4"/>
      <c r="H3" s="4"/>
      <c r="I3" s="4"/>
      <c r="J3" s="4"/>
      <c r="K3" s="4" t="s">
        <v>12</v>
      </c>
      <c r="L3" s="9">
        <f ca="1">VLOOKUP((TODAY()),A:B,2,FALSE)</f>
        <v>-3.319999999999999</v>
      </c>
    </row>
    <row r="4" spans="1:12" x14ac:dyDescent="0.3">
      <c r="A4" s="5">
        <v>44156</v>
      </c>
      <c r="B4" s="3">
        <v>-3.319999999999999</v>
      </c>
      <c r="D4" s="5">
        <v>44156</v>
      </c>
      <c r="E4" s="3">
        <v>-3.319999999999999</v>
      </c>
    </row>
    <row r="5" spans="1:12" x14ac:dyDescent="0.3">
      <c r="A5" s="5" t="s">
        <v>8</v>
      </c>
      <c r="B5" s="3">
        <v>-3.319999999999999</v>
      </c>
      <c r="D5" s="5" t="s">
        <v>8</v>
      </c>
      <c r="E5" s="3">
        <v>-3.319999999999999</v>
      </c>
    </row>
    <row r="6" spans="1:12" x14ac:dyDescent="0.3">
      <c r="B6"/>
      <c r="E6"/>
    </row>
    <row r="7" spans="1:12" x14ac:dyDescent="0.3">
      <c r="B7" s="8"/>
    </row>
    <row r="8" spans="1:12" x14ac:dyDescent="0.3">
      <c r="C8" s="4"/>
      <c r="K8" s="4"/>
      <c r="L8" s="4"/>
    </row>
  </sheetData>
  <mergeCells count="2">
    <mergeCell ref="A2:B2"/>
    <mergeCell ref="K1:L1"/>
  </mergeCells>
  <pageMargins left="0.511811024" right="0.511811024" top="0.78740157499999996" bottom="0.78740157499999996" header="0.31496062000000002" footer="0.3149606200000000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B837A-B7AC-47A3-A424-035D251163D9}">
  <sheetPr codeName="Planilha2"/>
  <dimension ref="A2:G14"/>
  <sheetViews>
    <sheetView showGridLines="0" workbookViewId="0">
      <selection activeCell="F12" sqref="F12"/>
    </sheetView>
  </sheetViews>
  <sheetFormatPr defaultRowHeight="16.5" x14ac:dyDescent="0.3"/>
  <cols>
    <col min="1" max="1" width="11.875" customWidth="1"/>
    <col min="2" max="2" width="18.25" style="21" bestFit="1" customWidth="1"/>
    <col min="3" max="3" width="11.375" bestFit="1" customWidth="1"/>
    <col min="4" max="4" width="11.625" customWidth="1"/>
    <col min="7" max="7" width="18.375" customWidth="1"/>
  </cols>
  <sheetData>
    <row r="2" spans="1:7" ht="30.75" x14ac:dyDescent="0.4">
      <c r="B2" s="18">
        <f ca="1">LucroHoje</f>
        <v>-3.319999999999999</v>
      </c>
    </row>
    <row r="7" spans="1:7" x14ac:dyDescent="0.3">
      <c r="A7" s="4" t="s">
        <v>1</v>
      </c>
      <c r="B7" s="19" t="s">
        <v>4</v>
      </c>
      <c r="C7" s="4" t="s">
        <v>2</v>
      </c>
    </row>
    <row r="8" spans="1:7" ht="24" x14ac:dyDescent="0.35">
      <c r="A8" s="16">
        <v>0.27291666666666664</v>
      </c>
      <c r="B8" s="20">
        <v>-2</v>
      </c>
      <c r="C8" s="15" t="s">
        <v>14</v>
      </c>
      <c r="G8" s="11">
        <f>lucroFiltrado</f>
        <v>-3.319999999999999</v>
      </c>
    </row>
    <row r="9" spans="1:7" ht="18.75" x14ac:dyDescent="0.3">
      <c r="A9" s="16">
        <v>0.27430555555555552</v>
      </c>
      <c r="B9" s="12">
        <v>-2</v>
      </c>
      <c r="C9" s="15" t="s">
        <v>14</v>
      </c>
    </row>
    <row r="10" spans="1:7" ht="18.75" x14ac:dyDescent="0.3">
      <c r="A10" s="16">
        <v>0.27638888888888885</v>
      </c>
      <c r="B10" s="12">
        <v>-2</v>
      </c>
      <c r="C10" s="15" t="s">
        <v>14</v>
      </c>
    </row>
    <row r="11" spans="1:7" ht="18.75" x14ac:dyDescent="0.3">
      <c r="A11" s="16">
        <v>0.27777777777777779</v>
      </c>
      <c r="B11" s="12">
        <v>1.56</v>
      </c>
      <c r="C11" s="15" t="s">
        <v>3</v>
      </c>
    </row>
    <row r="12" spans="1:7" ht="18.75" x14ac:dyDescent="0.3">
      <c r="A12" s="16">
        <v>0.28194444444444444</v>
      </c>
      <c r="B12" s="12">
        <v>1.56</v>
      </c>
      <c r="C12" s="15" t="s">
        <v>3</v>
      </c>
    </row>
    <row r="13" spans="1:7" ht="18.75" x14ac:dyDescent="0.3">
      <c r="A13" s="16">
        <v>0.28333333333333333</v>
      </c>
      <c r="B13" s="20">
        <v>-2</v>
      </c>
      <c r="C13" s="15" t="s">
        <v>14</v>
      </c>
    </row>
    <row r="14" spans="1:7" ht="18.75" x14ac:dyDescent="0.3">
      <c r="A14" s="16">
        <v>0.29412037037037037</v>
      </c>
      <c r="B14" s="12">
        <v>1.56</v>
      </c>
      <c r="C14" s="15" t="s">
        <v>3</v>
      </c>
    </row>
  </sheetData>
  <conditionalFormatting sqref="B2">
    <cfRule type="cellIs" dxfId="21" priority="10" operator="greaterThan">
      <formula>0</formula>
    </cfRule>
    <cfRule type="cellIs" dxfId="20" priority="11" operator="equal">
      <formula>0</formula>
    </cfRule>
    <cfRule type="cellIs" dxfId="19" priority="12" operator="lessThan">
      <formula>0</formula>
    </cfRule>
  </conditionalFormatting>
  <conditionalFormatting sqref="D1:D1048576">
    <cfRule type="cellIs" dxfId="18" priority="3" operator="equal">
      <formula>"recuperação"</formula>
    </cfRule>
    <cfRule type="cellIs" dxfId="17" priority="8" operator="equal">
      <formula>"win"</formula>
    </cfRule>
    <cfRule type="cellIs" dxfId="16" priority="9" operator="equal">
      <formula>"loos"</formula>
    </cfRule>
  </conditionalFormatting>
  <conditionalFormatting sqref="G8">
    <cfRule type="cellIs" dxfId="15" priority="5" operator="greaterThan">
      <formula>0</formula>
    </cfRule>
    <cfRule type="cellIs" dxfId="14" priority="6" operator="equal">
      <formula>0</formula>
    </cfRule>
    <cfRule type="cellIs" dxfId="13" priority="7" operator="lessThan">
      <formula>0</formula>
    </cfRule>
  </conditionalFormatting>
  <conditionalFormatting sqref="C1:C1048576">
    <cfRule type="cellIs" dxfId="12" priority="1" operator="equal">
      <formula>"win"</formula>
    </cfRule>
    <cfRule type="cellIs" dxfId="11" priority="2" operator="equal">
      <formula>"loss"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2"/>
  <drawing r:id="rId3"/>
  <picture r:id="rId4"/>
  <extLst>
    <ext xmlns:x14="http://schemas.microsoft.com/office/spreadsheetml/2009/9/main" uri="{A8765BA9-456A-4dab-B4F3-ACF838C121DE}">
      <x14:slicerList>
        <x14:slicer r:id="rId5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8C1C1-6943-4146-9194-F663BF30259D}">
  <dimension ref="A1:F13"/>
  <sheetViews>
    <sheetView tabSelected="1" workbookViewId="0">
      <selection activeCell="C12" sqref="C12"/>
    </sheetView>
  </sheetViews>
  <sheetFormatPr defaultRowHeight="16.5" x14ac:dyDescent="0.3"/>
  <cols>
    <col min="1" max="1" width="10.625" customWidth="1"/>
    <col min="2" max="2" width="7.875" bestFit="1" customWidth="1"/>
    <col min="3" max="3" width="11.375" bestFit="1" customWidth="1"/>
    <col min="4" max="4" width="7.625" customWidth="1"/>
    <col min="5" max="5" width="11.25" bestFit="1" customWidth="1"/>
    <col min="6" max="6" width="18.625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4</v>
      </c>
      <c r="E1" t="s">
        <v>13</v>
      </c>
    </row>
    <row r="2" spans="1:6" x14ac:dyDescent="0.3">
      <c r="A2" s="1">
        <v>44156</v>
      </c>
      <c r="B2" s="2">
        <v>0.27291666666666664</v>
      </c>
      <c r="C2" s="3" t="s">
        <v>14</v>
      </c>
      <c r="D2" s="13">
        <v>-2</v>
      </c>
      <c r="E2">
        <v>0</v>
      </c>
    </row>
    <row r="3" spans="1:6" x14ac:dyDescent="0.3">
      <c r="A3" s="1">
        <v>44156</v>
      </c>
      <c r="B3" s="2">
        <v>0.27430555555555558</v>
      </c>
      <c r="C3" s="3" t="s">
        <v>14</v>
      </c>
      <c r="D3">
        <v>-2</v>
      </c>
      <c r="E3">
        <v>0</v>
      </c>
    </row>
    <row r="4" spans="1:6" x14ac:dyDescent="0.3">
      <c r="A4" s="1">
        <v>44156</v>
      </c>
      <c r="B4" s="2">
        <v>0.27638888888888891</v>
      </c>
      <c r="C4" s="3" t="s">
        <v>14</v>
      </c>
      <c r="D4">
        <v>-2</v>
      </c>
      <c r="E4">
        <v>0</v>
      </c>
    </row>
    <row r="5" spans="1:6" x14ac:dyDescent="0.3">
      <c r="A5" s="1">
        <v>44156</v>
      </c>
      <c r="B5" s="2">
        <v>0.27777777777777779</v>
      </c>
      <c r="C5" s="3" t="s">
        <v>3</v>
      </c>
      <c r="D5">
        <v>1.56</v>
      </c>
      <c r="E5">
        <v>0</v>
      </c>
    </row>
    <row r="6" spans="1:6" x14ac:dyDescent="0.3">
      <c r="A6" s="1">
        <v>44156</v>
      </c>
      <c r="B6" s="2">
        <v>0.28194444444444444</v>
      </c>
      <c r="C6" s="3" t="s">
        <v>3</v>
      </c>
      <c r="D6">
        <v>1.56</v>
      </c>
      <c r="E6">
        <v>0</v>
      </c>
    </row>
    <row r="7" spans="1:6" x14ac:dyDescent="0.3">
      <c r="A7" s="1">
        <v>44156</v>
      </c>
      <c r="B7" s="2">
        <v>0.28333333333333333</v>
      </c>
      <c r="C7" s="3" t="s">
        <v>14</v>
      </c>
      <c r="D7">
        <v>-2</v>
      </c>
      <c r="E7">
        <v>0</v>
      </c>
    </row>
    <row r="8" spans="1:6" x14ac:dyDescent="0.3">
      <c r="A8" s="1">
        <v>44156</v>
      </c>
      <c r="B8" s="2">
        <v>0.29412037037037037</v>
      </c>
      <c r="C8" s="3" t="s">
        <v>3</v>
      </c>
      <c r="D8" s="17">
        <v>1.56</v>
      </c>
      <c r="E8">
        <v>0</v>
      </c>
      <c r="F8" s="13"/>
    </row>
    <row r="13" spans="1:6" x14ac:dyDescent="0.3">
      <c r="D13" s="7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29A6E9-1D7B-4C7E-8874-924C247CF27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2</vt:i4>
      </vt:variant>
    </vt:vector>
  </HeadingPairs>
  <TitlesOfParts>
    <vt:vector size="5" baseType="lpstr">
      <vt:lpstr>indicators</vt:lpstr>
      <vt:lpstr>INDEX</vt:lpstr>
      <vt:lpstr>Planilha1</vt:lpstr>
      <vt:lpstr>lucroFiltrado</vt:lpstr>
      <vt:lpstr>LucroHoje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Eduardo</dc:creator>
  <cp:lastModifiedBy>User</cp:lastModifiedBy>
  <dcterms:created xsi:type="dcterms:W3CDTF">2015-06-05T18:19:34Z</dcterms:created>
  <dcterms:modified xsi:type="dcterms:W3CDTF">2020-11-21T07:36:57Z</dcterms:modified>
</cp:coreProperties>
</file>